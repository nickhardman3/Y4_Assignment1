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d07f7ca3c8559/Documents/Chemistry/comp files/Year 4/Software Engineering/Y4_Assignment1/results/Speed Testing/"/>
    </mc:Choice>
  </mc:AlternateContent>
  <xr:revisionPtr revIDLastSave="567" documentId="8_{9924B14F-A62A-4B94-BC95-35535B165EB9}" xr6:coauthVersionLast="47" xr6:coauthVersionMax="47" xr10:uidLastSave="{AC414849-4636-4E8E-AFC5-BB2DC67AFD61}"/>
  <bookViews>
    <workbookView xWindow="-110" yWindow="-110" windowWidth="19420" windowHeight="11500" xr2:uid="{6DDFB865-8BC8-492E-B6BC-662A3D973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23" i="1" l="1"/>
  <c r="BI24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BI3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8" i="1"/>
  <c r="BD7" i="1"/>
  <c r="BD6" i="1"/>
  <c r="BD5" i="1"/>
  <c r="BD4" i="1"/>
  <c r="BD3" i="1"/>
  <c r="AY8" i="1"/>
  <c r="AY7" i="1"/>
  <c r="AY6" i="1"/>
  <c r="AY5" i="1"/>
  <c r="AY4" i="1"/>
  <c r="AY3" i="1"/>
  <c r="AT7" i="1"/>
  <c r="AT6" i="1"/>
  <c r="AT5" i="1"/>
  <c r="AT4" i="1"/>
  <c r="AT3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8" i="1"/>
  <c r="AO7" i="1"/>
  <c r="AO6" i="1"/>
  <c r="AO5" i="1"/>
  <c r="AO4" i="1"/>
  <c r="AO3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Z16" i="1"/>
  <c r="Z17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U8" i="1"/>
  <c r="U9" i="1"/>
  <c r="U10" i="1"/>
  <c r="U11" i="1"/>
  <c r="U12" i="1"/>
  <c r="U13" i="1"/>
  <c r="U14" i="1"/>
  <c r="U15" i="1"/>
  <c r="U7" i="1"/>
  <c r="U6" i="1"/>
  <c r="U5" i="1"/>
  <c r="U4" i="1"/>
  <c r="U3" i="1"/>
  <c r="P7" i="1"/>
  <c r="P6" i="1"/>
  <c r="P5" i="1"/>
  <c r="P4" i="1"/>
  <c r="P3" i="1"/>
  <c r="K7" i="1"/>
  <c r="K6" i="1"/>
  <c r="K5" i="1"/>
  <c r="K4" i="1"/>
  <c r="K3" i="1"/>
  <c r="F4" i="1"/>
  <c r="F5" i="1"/>
  <c r="F6" i="1"/>
  <c r="F3" i="1"/>
  <c r="BH23" i="1"/>
  <c r="BH24" i="1"/>
  <c r="BH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C19" i="1"/>
  <c r="BC20" i="1"/>
  <c r="BC21" i="1"/>
  <c r="BC22" i="1"/>
  <c r="BC9" i="1"/>
  <c r="BC10" i="1"/>
  <c r="BC11" i="1"/>
  <c r="BC12" i="1"/>
  <c r="BC13" i="1"/>
  <c r="BC14" i="1"/>
  <c r="BC15" i="1"/>
  <c r="BC16" i="1"/>
  <c r="BC17" i="1"/>
  <c r="BC18" i="1"/>
  <c r="BC8" i="1"/>
  <c r="BC7" i="1"/>
  <c r="BC6" i="1"/>
  <c r="BC5" i="1"/>
  <c r="BC4" i="1"/>
  <c r="BC3" i="1"/>
  <c r="AX8" i="1"/>
  <c r="AX7" i="1"/>
  <c r="AX6" i="1"/>
  <c r="AX5" i="1"/>
  <c r="AX4" i="1"/>
  <c r="AX3" i="1"/>
  <c r="AS7" i="1"/>
  <c r="AS6" i="1"/>
  <c r="AS5" i="1"/>
  <c r="AS4" i="1"/>
  <c r="AS3" i="1"/>
  <c r="AN18" i="1"/>
  <c r="AN19" i="1"/>
  <c r="AN20" i="1"/>
  <c r="AN21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Y16" i="1"/>
  <c r="AD16" i="1"/>
  <c r="AD18" i="1"/>
  <c r="AD15" i="1"/>
  <c r="AD17" i="1"/>
  <c r="Y12" i="1"/>
  <c r="AD14" i="1"/>
  <c r="AD13" i="1"/>
  <c r="AD12" i="1"/>
  <c r="AD11" i="1"/>
  <c r="AD10" i="1"/>
  <c r="AD9" i="1"/>
  <c r="AD8" i="1"/>
  <c r="AD7" i="1"/>
  <c r="AD6" i="1"/>
  <c r="AD5" i="1"/>
  <c r="AD4" i="1"/>
  <c r="AD3" i="1"/>
  <c r="Y17" i="1"/>
  <c r="Y15" i="1"/>
  <c r="Y14" i="1"/>
  <c r="Y13" i="1"/>
  <c r="Y11" i="1"/>
  <c r="Y10" i="1"/>
  <c r="Y9" i="1"/>
  <c r="Y8" i="1"/>
  <c r="Y7" i="1"/>
  <c r="Y6" i="1"/>
  <c r="Y5" i="1"/>
  <c r="Y4" i="1"/>
  <c r="Y3" i="1"/>
  <c r="T12" i="1"/>
  <c r="T13" i="1"/>
  <c r="T14" i="1"/>
  <c r="T15" i="1"/>
  <c r="T8" i="1"/>
  <c r="T9" i="1"/>
  <c r="T10" i="1"/>
  <c r="T11" i="1"/>
  <c r="T7" i="1"/>
  <c r="T6" i="1"/>
  <c r="T5" i="1"/>
  <c r="T4" i="1"/>
  <c r="T3" i="1"/>
  <c r="O7" i="1"/>
  <c r="O6" i="1"/>
  <c r="O5" i="1"/>
  <c r="O4" i="1"/>
  <c r="O3" i="1"/>
  <c r="J7" i="1"/>
  <c r="J6" i="1"/>
  <c r="J5" i="1"/>
  <c r="J4" i="1"/>
  <c r="J3" i="1"/>
  <c r="E4" i="1"/>
  <c r="E5" i="1"/>
  <c r="E6" i="1"/>
  <c r="E3" i="1"/>
</calcChain>
</file>

<file path=xl/sharedStrings.xml><?xml version="1.0" encoding="utf-8"?>
<sst xmlns="http://schemas.openxmlformats.org/spreadsheetml/2006/main" count="72" uniqueCount="17">
  <si>
    <t>core</t>
  </si>
  <si>
    <t>numpy</t>
  </si>
  <si>
    <t>numpy_seq</t>
  </si>
  <si>
    <t>numpy_vec</t>
  </si>
  <si>
    <t>numba</t>
  </si>
  <si>
    <t>numba_par</t>
  </si>
  <si>
    <t>cython</t>
  </si>
  <si>
    <t>cython_omp</t>
  </si>
  <si>
    <t>MPI_numba</t>
  </si>
  <si>
    <t>MPI_Cython</t>
  </si>
  <si>
    <t>MPI 4</t>
  </si>
  <si>
    <t>MPI 2</t>
  </si>
  <si>
    <t>Run 1</t>
  </si>
  <si>
    <t>Run 2</t>
  </si>
  <si>
    <t>Run 3</t>
  </si>
  <si>
    <t>Average seconds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</si>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</sst>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51B8-BBF4-4CBC-8AA0-F168C71DEA52}">
  <dimension ref="A1:BI24"/>
  <sheetViews>
    <sheetView tabSelected="1" topLeftCell="A4" workbookViewId="0">
      <selection activeCell="A21" sqref="A21:A24"/>
    </sheetView>
  </sheetViews>
  <sheetFormatPr defaultRowHeight="14.5" x14ac:dyDescent="0.35"/>
  <cols>
    <col min="2" max="6" width="17.36328125" customWidth="1"/>
    <col min="7" max="11" width="17.1796875" customWidth="1"/>
    <col min="12" max="16" width="17.36328125" customWidth="1"/>
    <col min="17" max="21" width="17.453125" customWidth="1"/>
    <col min="22" max="26" width="17.7265625" customWidth="1"/>
    <col min="27" max="31" width="17.6328125" customWidth="1"/>
    <col min="32" max="46" width="17.453125" customWidth="1"/>
    <col min="47" max="51" width="17.26953125" customWidth="1"/>
    <col min="52" max="52" width="16.81640625" customWidth="1"/>
    <col min="53" max="53" width="17.453125" customWidth="1"/>
    <col min="54" max="54" width="17.54296875" customWidth="1"/>
    <col min="55" max="55" width="17.6328125" customWidth="1"/>
    <col min="56" max="56" width="17.54296875" customWidth="1"/>
    <col min="57" max="57" width="17.453125" customWidth="1"/>
    <col min="58" max="58" width="17.26953125" customWidth="1"/>
    <col min="59" max="59" width="17.54296875" customWidth="1"/>
    <col min="60" max="60" width="17.453125" customWidth="1"/>
    <col min="61" max="61" width="17.36328125" customWidth="1"/>
  </cols>
  <sheetData>
    <row r="1" spans="1:61" x14ac:dyDescent="0.35">
      <c r="B1" t="s">
        <v>0</v>
      </c>
      <c r="G1" t="s">
        <v>1</v>
      </c>
      <c r="L1" t="s">
        <v>2</v>
      </c>
      <c r="Q1" t="s">
        <v>3</v>
      </c>
      <c r="V1" t="s">
        <v>4</v>
      </c>
      <c r="AA1" t="s">
        <v>5</v>
      </c>
      <c r="AF1" t="s">
        <v>6</v>
      </c>
      <c r="AK1" t="s">
        <v>7</v>
      </c>
      <c r="AP1" t="s">
        <v>11</v>
      </c>
      <c r="AU1" t="s">
        <v>10</v>
      </c>
      <c r="AZ1" t="s">
        <v>8</v>
      </c>
      <c r="BE1" t="s">
        <v>9</v>
      </c>
    </row>
    <row r="2" spans="1:61" x14ac:dyDescent="0.3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12</v>
      </c>
      <c r="AL2" t="s">
        <v>13</v>
      </c>
      <c r="AM2" t="s">
        <v>14</v>
      </c>
      <c r="AN2" t="s">
        <v>15</v>
      </c>
      <c r="AO2" t="s">
        <v>16</v>
      </c>
      <c r="AP2" t="s">
        <v>12</v>
      </c>
      <c r="AQ2" t="s">
        <v>13</v>
      </c>
      <c r="AR2" t="s">
        <v>14</v>
      </c>
      <c r="AS2" t="s">
        <v>15</v>
      </c>
      <c r="AT2" t="s">
        <v>16</v>
      </c>
      <c r="AU2" t="s">
        <v>12</v>
      </c>
      <c r="AV2" t="s">
        <v>13</v>
      </c>
      <c r="AW2" t="s">
        <v>14</v>
      </c>
      <c r="AX2" t="s">
        <v>15</v>
      </c>
      <c r="AY2" t="s">
        <v>16</v>
      </c>
      <c r="AZ2" t="s">
        <v>12</v>
      </c>
      <c r="BA2" t="s">
        <v>13</v>
      </c>
      <c r="BB2" t="s">
        <v>14</v>
      </c>
      <c r="BC2" t="s">
        <v>15</v>
      </c>
      <c r="BD2" t="s">
        <v>16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</row>
    <row r="3" spans="1:61" x14ac:dyDescent="0.35">
      <c r="A3">
        <v>10</v>
      </c>
      <c r="B3">
        <v>2.1703399999999999</v>
      </c>
      <c r="C3">
        <v>2.120914</v>
      </c>
      <c r="D3">
        <v>2.243954</v>
      </c>
      <c r="E3" s="1">
        <f>AVERAGE(B3,C3,D3)</f>
        <v>2.1784026666666669</v>
      </c>
      <c r="F3" s="1">
        <f>((SQRT(((B3-E3)^2+(C3-E3)^2+(D3-E3)^2)/2))/SQRT(3))</f>
        <v>3.5746633153036646E-2</v>
      </c>
      <c r="G3" s="1">
        <v>1.5173319999999999</v>
      </c>
      <c r="H3" s="1">
        <v>2.2261639999999998</v>
      </c>
      <c r="I3" s="1">
        <v>1.549242</v>
      </c>
      <c r="J3" s="1">
        <f>AVERAGE(G3,H3,I3)</f>
        <v>1.764246</v>
      </c>
      <c r="K3" s="1">
        <f>((SQRT(((G3-J3)^2+(H3-J3)^2+(I3-J3)^2)/2))/SQRT(3))</f>
        <v>0.23114262629236806</v>
      </c>
      <c r="L3">
        <v>1.552262</v>
      </c>
      <c r="M3">
        <v>1.509863</v>
      </c>
      <c r="N3">
        <v>1.8327040000000001</v>
      </c>
      <c r="O3" s="1">
        <f>AVERAGE(L3,M3,N3)</f>
        <v>1.6316096666666666</v>
      </c>
      <c r="P3" s="1">
        <f>((SQRT(((L3-O3)^2+(M3-O3)^2+(N3-O3)^2)/2))/SQRT(3))</f>
        <v>0.10128938242207054</v>
      </c>
      <c r="Q3">
        <v>0.30030099999999998</v>
      </c>
      <c r="R3">
        <v>0.30722500000000003</v>
      </c>
      <c r="S3">
        <v>0.35023100000000001</v>
      </c>
      <c r="T3" s="1">
        <f>AVERAGE(Q3,R3,S3)</f>
        <v>0.3192523333333333</v>
      </c>
      <c r="U3" s="1">
        <f>((SQRT(((Q3-T3)^2+(R3-T3)^2+(S3-T3)^2)/2))/SQRT(3))</f>
        <v>1.561776536867907E-2</v>
      </c>
      <c r="V3">
        <v>5.6942E-2</v>
      </c>
      <c r="W3">
        <v>5.1908999999999997E-2</v>
      </c>
      <c r="X3">
        <v>5.5139000000000001E-2</v>
      </c>
      <c r="Y3" s="1">
        <f>AVERAGE(V3,W3,X3)</f>
        <v>5.4663333333333335E-2</v>
      </c>
      <c r="Z3" s="1">
        <f>((SQRT(((V3-Y3)^2+(W3-Y3)^2+(X3-Y3)^2)/2))/SQRT(3))</f>
        <v>1.4722393751621305E-3</v>
      </c>
      <c r="AA3">
        <v>0.966364</v>
      </c>
      <c r="AB3">
        <v>0.969831</v>
      </c>
      <c r="AC3">
        <v>1.04837</v>
      </c>
      <c r="AD3" s="1">
        <f>AVERAGE(AA3,AB3,AC3)</f>
        <v>0.99485499999999993</v>
      </c>
      <c r="AE3" s="1">
        <f>((SQRT(((AA3-AD3)^2+(AB3-AD3)^2+(AC3-AD3)^2)/2))/SQRT(3))</f>
        <v>2.6776211089945753E-2</v>
      </c>
      <c r="AF3">
        <v>6.4825999999999995E-2</v>
      </c>
      <c r="AG3">
        <v>6.2853999999999993E-2</v>
      </c>
      <c r="AH3">
        <v>6.5521999999999997E-2</v>
      </c>
      <c r="AI3" s="1">
        <f>AVERAGE(AF3,AG3,AH3)</f>
        <v>6.4400666666666662E-2</v>
      </c>
      <c r="AJ3" s="1">
        <f>((SQRT(((AF3-AI3)^2+(AG3-AI3)^2+(AH3-AI3)^2)/2))/SQRT(3))</f>
        <v>7.9900716169784491E-4</v>
      </c>
      <c r="AK3">
        <v>0.224359</v>
      </c>
      <c r="AL3">
        <v>0.22880900000000001</v>
      </c>
      <c r="AM3">
        <v>0.25748799999999999</v>
      </c>
      <c r="AN3" s="1">
        <f>AVERAGE(AK3,AL3,AM3)</f>
        <v>0.23688533333333331</v>
      </c>
      <c r="AO3" s="1">
        <f>((SQRT(((AK3-AN3)^2+(AL3-AN3)^2+(AM3-AN3)^2)/2))/SQRT(3))</f>
        <v>1.0381121171519852E-2</v>
      </c>
      <c r="AP3">
        <v>1.2287980000000001</v>
      </c>
      <c r="AQ3">
        <v>1.201532</v>
      </c>
      <c r="AR3">
        <v>1.245431</v>
      </c>
      <c r="AS3" s="1">
        <f>AVERAGE(AP3,AQ3,AR3)</f>
        <v>1.2252536666666667</v>
      </c>
      <c r="AT3" s="1">
        <f>((SQRT(((AP3-AS3)^2+(AQ3-AS3)^2+(AR3-AS3)^2)/2))/SQRT(3))</f>
        <v>1.2795862278269638E-2</v>
      </c>
      <c r="AU3">
        <v>1.252513</v>
      </c>
      <c r="AV3">
        <v>1.2659320000000001</v>
      </c>
      <c r="AW3">
        <v>1.2875650000000001</v>
      </c>
      <c r="AX3" s="1">
        <f>AVERAGE(AU3,AV3,AW3)</f>
        <v>1.26867</v>
      </c>
      <c r="AY3" s="1">
        <f>((SQRT(((AU3-AX3)^2+(AV3-AX3)^2+(AW3-AX3)^2)/2))/SQRT(3))</f>
        <v>1.0210830181723739E-2</v>
      </c>
      <c r="AZ3">
        <v>0.180087</v>
      </c>
      <c r="BA3">
        <v>0.17614199999999999</v>
      </c>
      <c r="BB3">
        <v>0.201959</v>
      </c>
      <c r="BC3" s="1">
        <f>AVERAGE(AZ3,BA3,BB3)</f>
        <v>0.18606266666666668</v>
      </c>
      <c r="BD3" s="1">
        <f>((SQRT(((AZ3-BC3)^2+(BA3-BC3)^2+(BB3-BC3)^2)/2))/SQRT(3))</f>
        <v>8.0293382112793799E-3</v>
      </c>
      <c r="BE3">
        <v>0.202073</v>
      </c>
      <c r="BF3">
        <v>0.20288100000000001</v>
      </c>
      <c r="BG3">
        <v>0.19858899999999999</v>
      </c>
      <c r="BH3" s="1">
        <f>AVERAGE(BE3,BF3,BG3)</f>
        <v>0.20118100000000003</v>
      </c>
      <c r="BI3" s="1">
        <f>((SQRT(((BE3-BH3)^2+(BF3-BH3)^2+(BG3-BH3)^2)/2))/SQRT(3))</f>
        <v>1.3168224380429381E-3</v>
      </c>
    </row>
    <row r="4" spans="1:61" x14ac:dyDescent="0.35">
      <c r="A4">
        <v>25</v>
      </c>
      <c r="B4">
        <v>13.472185</v>
      </c>
      <c r="C4">
        <v>14.173211</v>
      </c>
      <c r="D4">
        <v>12.780684000000001</v>
      </c>
      <c r="E4" s="1">
        <f t="shared" ref="E4:E6" si="0">AVERAGE(B4,C4,D4)</f>
        <v>13.47536</v>
      </c>
      <c r="F4" s="1">
        <f t="shared" ref="F4:F6" si="1">((SQRT(((B4-E4)^2+(C4-E4)^2+(D4-E4)^2)/2))/SQRT(3))</f>
        <v>0.4019910537565895</v>
      </c>
      <c r="G4" s="2">
        <v>10.857547</v>
      </c>
      <c r="H4" s="2">
        <v>12.059616999999999</v>
      </c>
      <c r="I4" s="2">
        <v>10.495253999999999</v>
      </c>
      <c r="J4" s="1">
        <f t="shared" ref="J4:J7" si="2">AVERAGE(G4,H4,I4)</f>
        <v>11.137472666666667</v>
      </c>
      <c r="K4" s="1">
        <f t="shared" ref="K4:K6" si="3">((SQRT(((G4-J4)^2+(H4-J4)^2+(I4-J4)^2)/2))/SQRT(3))</f>
        <v>0.47278489932397133</v>
      </c>
      <c r="L4" s="2">
        <v>9.5619110000000003</v>
      </c>
      <c r="M4">
        <v>11.617307</v>
      </c>
      <c r="N4">
        <v>10.433261999999999</v>
      </c>
      <c r="O4" s="1">
        <f t="shared" ref="O4:O7" si="4">AVERAGE(L4,M4,N4)</f>
        <v>10.537493333333332</v>
      </c>
      <c r="P4" s="1">
        <f t="shared" ref="P4:P6" si="5">((SQRT(((L4-O4)^2+(M4-O4)^2+(N4-O4)^2)/2))/SQRT(3))</f>
        <v>0.59562608722260579</v>
      </c>
      <c r="Q4">
        <v>0.54015000000000002</v>
      </c>
      <c r="R4">
        <v>0.53013999999999994</v>
      </c>
      <c r="S4">
        <v>0.51631899999999997</v>
      </c>
      <c r="T4" s="1">
        <f t="shared" ref="T4:T15" si="6">AVERAGE(Q4,R4,S4)</f>
        <v>0.52886966666666668</v>
      </c>
      <c r="U4" s="1">
        <f t="shared" ref="U4:U6" si="7">((SQRT(((Q4-T4)^2+(R4-T4)^2+(S4-T4)^2)/2))/SQRT(3))</f>
        <v>6.9086769194816131E-3</v>
      </c>
      <c r="V4">
        <v>0.218671</v>
      </c>
      <c r="W4">
        <v>0.22264700000000001</v>
      </c>
      <c r="X4">
        <v>0.21762000000000001</v>
      </c>
      <c r="Y4" s="1">
        <f t="shared" ref="Y4:Y17" si="8">AVERAGE(V4,W4,X4)</f>
        <v>0.21964600000000001</v>
      </c>
      <c r="Z4" s="1">
        <f t="shared" ref="Z4:Z6" si="9">((SQRT(((V4-Y4)^2+(W4-Y4)^2+(X4-Y4)^2)/2))/SQRT(3))</f>
        <v>1.5308658769903189E-3</v>
      </c>
      <c r="AA4">
        <v>1.6387</v>
      </c>
      <c r="AB4">
        <v>1.1035250000000001</v>
      </c>
      <c r="AC4">
        <v>1.7464599999999999</v>
      </c>
      <c r="AD4" s="1">
        <f t="shared" ref="AD4:AD18" si="10">AVERAGE(AA4,AB4,AC4)</f>
        <v>1.4962283333333335</v>
      </c>
      <c r="AE4" s="1">
        <f t="shared" ref="AE4:AE6" si="11">((SQRT(((AA4-AD4)^2+(AB4-AD4)^2+(AC4-AD4)^2)/2))/SQRT(3))</f>
        <v>0.19880055785328613</v>
      </c>
      <c r="AF4">
        <v>0.19425700000000001</v>
      </c>
      <c r="AG4">
        <v>0.20047699999999999</v>
      </c>
      <c r="AH4">
        <v>0.20035700000000001</v>
      </c>
      <c r="AI4" s="1">
        <f t="shared" ref="AI4:AI17" si="12">AVERAGE(AF4,AG4,AH4)</f>
        <v>0.19836366666666669</v>
      </c>
      <c r="AJ4" s="1">
        <f t="shared" ref="AJ4:AJ6" si="13">((SQRT(((AF4-AI4)^2+(AG4-AI4)^2+(AH4-AI4)^2)/2))/SQRT(3))</f>
        <v>2.0536255203365966E-3</v>
      </c>
      <c r="AK4">
        <v>0.31610100000000002</v>
      </c>
      <c r="AL4">
        <v>0.31307099999999999</v>
      </c>
      <c r="AM4">
        <v>0.32968799999999998</v>
      </c>
      <c r="AN4" s="1">
        <f t="shared" ref="AN4:AN21" si="14">AVERAGE(AK4,AL4,AM4)</f>
        <v>0.31962000000000002</v>
      </c>
      <c r="AO4" s="1">
        <f t="shared" ref="AO4:AO6" si="15">((SQRT(((AK4-AN4)^2+(AL4-AN4)^2+(AM4-AN4)^2)/2))/SQRT(3))</f>
        <v>5.109425701583294E-3</v>
      </c>
      <c r="AP4">
        <v>6.9811399999999999</v>
      </c>
      <c r="AQ4">
        <v>6.9415480000000001</v>
      </c>
      <c r="AR4">
        <v>7.0017509999999996</v>
      </c>
      <c r="AS4" s="1">
        <f t="shared" ref="AS4:AS7" si="16">AVERAGE(AP4,AQ4,AR4)</f>
        <v>6.9748130000000002</v>
      </c>
      <c r="AT4" s="1">
        <f t="shared" ref="AT4:AT6" si="17">((SQRT(((AP4-AS4)^2+(AQ4-AS4)^2+(AR4-AS4)^2)/2))/SQRT(3))</f>
        <v>1.766468698656529E-2</v>
      </c>
      <c r="AU4">
        <v>6.2857779999999996</v>
      </c>
      <c r="AV4">
        <v>6.0195090000000002</v>
      </c>
      <c r="AW4">
        <v>5.9922370000000003</v>
      </c>
      <c r="AX4" s="1">
        <f t="shared" ref="AX4:AX8" si="18">AVERAGE(AU4,AV4,AW4)</f>
        <v>6.0991746666666664</v>
      </c>
      <c r="AY4" s="1">
        <f t="shared" ref="AY4:AY6" si="19">((SQRT(((AU4-AX4)^2+(AV4-AX4)^2+(AW4-AX4)^2)/2))/SQRT(3))</f>
        <v>9.3633226838078565E-2</v>
      </c>
      <c r="AZ4">
        <v>0.263793</v>
      </c>
      <c r="BA4">
        <v>0.28187699999999999</v>
      </c>
      <c r="BB4">
        <v>0.249528</v>
      </c>
      <c r="BC4" s="1">
        <f t="shared" ref="BC4:BC22" si="20">AVERAGE(AZ4,BA4,BB4)</f>
        <v>0.26506599999999997</v>
      </c>
      <c r="BD4" s="1">
        <f t="shared" ref="BD4:BD6" si="21">((SQRT(((AZ4-BC4)^2+(BA4-BC4)^2+(BB4-BC4)^2)/2))/SQRT(3))</f>
        <v>9.3600186431438241E-3</v>
      </c>
      <c r="BE4">
        <v>0.224518</v>
      </c>
      <c r="BF4">
        <v>0.23888000000000001</v>
      </c>
      <c r="BG4">
        <v>0.24215700000000001</v>
      </c>
      <c r="BH4" s="1">
        <f t="shared" ref="BH4:BH24" si="22">AVERAGE(BE4,BF4,BG4)</f>
        <v>0.23518499999999998</v>
      </c>
      <c r="BI4" s="1">
        <f t="shared" ref="BI4:BI6" si="23">((SQRT(((BE4-BH4)^2+(BF4-BH4)^2+(BG4-BH4)^2)/2))/SQRT(3))</f>
        <v>5.4167440712418182E-3</v>
      </c>
    </row>
    <row r="5" spans="1:61" x14ac:dyDescent="0.35">
      <c r="A5">
        <v>50</v>
      </c>
      <c r="B5">
        <v>59.447397000000002</v>
      </c>
      <c r="C5">
        <v>59.878385000000002</v>
      </c>
      <c r="D5">
        <v>64.009001999999995</v>
      </c>
      <c r="E5" s="1">
        <f t="shared" si="0"/>
        <v>61.111594666666669</v>
      </c>
      <c r="F5" s="1">
        <f t="shared" si="1"/>
        <v>1.4540362908671749</v>
      </c>
      <c r="G5" s="2">
        <v>59.084432999999997</v>
      </c>
      <c r="H5" s="2">
        <v>42.657552000000003</v>
      </c>
      <c r="I5" s="2">
        <v>47.762137000000003</v>
      </c>
      <c r="J5" s="1">
        <f t="shared" si="2"/>
        <v>49.834707333333334</v>
      </c>
      <c r="K5" s="1">
        <f t="shared" si="3"/>
        <v>4.8539422358532551</v>
      </c>
      <c r="L5">
        <v>40.422966000000002</v>
      </c>
      <c r="M5">
        <v>40.110852000000001</v>
      </c>
      <c r="N5">
        <v>39.780715000000001</v>
      </c>
      <c r="O5" s="1">
        <f t="shared" si="4"/>
        <v>40.104844333333332</v>
      </c>
      <c r="P5" s="1">
        <f t="shared" si="5"/>
        <v>0.18542622593575581</v>
      </c>
      <c r="Q5">
        <v>1.3442400000000001</v>
      </c>
      <c r="R5">
        <v>1.271048</v>
      </c>
      <c r="S5">
        <v>1.403797</v>
      </c>
      <c r="T5" s="1">
        <f t="shared" si="6"/>
        <v>1.3396950000000001</v>
      </c>
      <c r="U5" s="1">
        <f t="shared" si="7"/>
        <v>3.8388657261401234E-2</v>
      </c>
      <c r="V5">
        <v>0.86246800000000001</v>
      </c>
      <c r="W5">
        <v>0.83521100000000004</v>
      </c>
      <c r="X5">
        <v>0.89553199999999999</v>
      </c>
      <c r="Y5" s="1">
        <f t="shared" si="8"/>
        <v>0.86440366666666668</v>
      </c>
      <c r="Z5" s="1">
        <f t="shared" si="9"/>
        <v>1.7440048397613771E-2</v>
      </c>
      <c r="AA5">
        <v>2.6119490000000001</v>
      </c>
      <c r="AB5">
        <v>2.6555930000000001</v>
      </c>
      <c r="AC5">
        <v>2.7127189999999999</v>
      </c>
      <c r="AD5" s="1">
        <f t="shared" si="10"/>
        <v>2.6600870000000003</v>
      </c>
      <c r="AE5" s="1">
        <f t="shared" si="11"/>
        <v>2.9176447419108392E-2</v>
      </c>
      <c r="AF5">
        <v>0.67675799999999997</v>
      </c>
      <c r="AG5">
        <v>0.70301899999999995</v>
      </c>
      <c r="AH5">
        <v>0.682759</v>
      </c>
      <c r="AI5" s="1">
        <f t="shared" si="12"/>
        <v>0.6875119999999999</v>
      </c>
      <c r="AJ5" s="1">
        <f t="shared" si="13"/>
        <v>7.944668799473845E-3</v>
      </c>
      <c r="AK5">
        <v>0.55460799999999999</v>
      </c>
      <c r="AL5">
        <v>0.54945200000000005</v>
      </c>
      <c r="AM5">
        <v>0.58731599999999995</v>
      </c>
      <c r="AN5" s="1">
        <f t="shared" si="14"/>
        <v>0.56379199999999996</v>
      </c>
      <c r="AO5" s="1">
        <f t="shared" si="15"/>
        <v>1.1855800493148185E-2</v>
      </c>
      <c r="AP5">
        <v>26.48715</v>
      </c>
      <c r="AQ5">
        <v>26.280563999999998</v>
      </c>
      <c r="AR5">
        <v>27.000333000000001</v>
      </c>
      <c r="AS5" s="1">
        <f t="shared" si="16"/>
        <v>26.589348999999999</v>
      </c>
      <c r="AT5" s="1">
        <f t="shared" si="17"/>
        <v>0.21397066001440562</v>
      </c>
      <c r="AU5">
        <v>22.366539</v>
      </c>
      <c r="AV5">
        <v>22.361619000000001</v>
      </c>
      <c r="AW5">
        <v>22.3644</v>
      </c>
      <c r="AX5" s="1">
        <f t="shared" si="18"/>
        <v>22.364186</v>
      </c>
      <c r="AY5" s="1">
        <f t="shared" si="19"/>
        <v>1.4243064979135368E-3</v>
      </c>
      <c r="AZ5">
        <v>0.49021799999999999</v>
      </c>
      <c r="BA5">
        <v>0.48382199999999997</v>
      </c>
      <c r="BB5">
        <v>0.47519299999999998</v>
      </c>
      <c r="BC5" s="1">
        <f t="shared" si="20"/>
        <v>0.48307766666666668</v>
      </c>
      <c r="BD5" s="1">
        <f t="shared" si="21"/>
        <v>4.3532815336377153E-3</v>
      </c>
      <c r="BE5">
        <v>0.43722800000000001</v>
      </c>
      <c r="BF5">
        <v>0.39025100000000001</v>
      </c>
      <c r="BG5">
        <v>0.41002100000000002</v>
      </c>
      <c r="BH5" s="1">
        <f t="shared" si="22"/>
        <v>0.41250000000000003</v>
      </c>
      <c r="BI5" s="1">
        <f t="shared" si="23"/>
        <v>1.3617619872797153E-2</v>
      </c>
    </row>
    <row r="6" spans="1:61" x14ac:dyDescent="0.35">
      <c r="A6">
        <v>75</v>
      </c>
      <c r="B6">
        <v>140.10645700000001</v>
      </c>
      <c r="C6">
        <v>146.76813000000001</v>
      </c>
      <c r="D6">
        <v>140.985873</v>
      </c>
      <c r="E6" s="1">
        <f t="shared" si="0"/>
        <v>142.62015333333332</v>
      </c>
      <c r="F6" s="1">
        <f t="shared" si="1"/>
        <v>2.0894677109790729</v>
      </c>
      <c r="G6" s="2">
        <v>97.900137000000001</v>
      </c>
      <c r="H6" s="2">
        <v>99.118522999999996</v>
      </c>
      <c r="I6" s="2">
        <v>98.744804999999999</v>
      </c>
      <c r="J6" s="1">
        <f t="shared" si="2"/>
        <v>98.58782166666667</v>
      </c>
      <c r="K6" s="1">
        <f t="shared" si="3"/>
        <v>0.36036968817097198</v>
      </c>
      <c r="L6">
        <v>88.898690000000002</v>
      </c>
      <c r="M6">
        <v>98.637827999999999</v>
      </c>
      <c r="N6">
        <v>92.165339000000003</v>
      </c>
      <c r="O6" s="1">
        <f t="shared" si="4"/>
        <v>93.233952333333335</v>
      </c>
      <c r="P6" s="1">
        <f t="shared" si="5"/>
        <v>2.8617682813192218</v>
      </c>
      <c r="Q6">
        <v>2.693308</v>
      </c>
      <c r="R6">
        <v>2.5290759999999999</v>
      </c>
      <c r="S6">
        <v>2.474129</v>
      </c>
      <c r="T6" s="1">
        <f t="shared" si="6"/>
        <v>2.5655043333333332</v>
      </c>
      <c r="U6" s="1">
        <f t="shared" si="7"/>
        <v>6.5841036120678167E-2</v>
      </c>
      <c r="V6">
        <v>1.831887</v>
      </c>
      <c r="W6">
        <v>1.8627769999999999</v>
      </c>
      <c r="X6">
        <v>1.8551519999999999</v>
      </c>
      <c r="Y6" s="1">
        <f t="shared" si="8"/>
        <v>1.8499386666666666</v>
      </c>
      <c r="Z6" s="1">
        <f t="shared" si="9"/>
        <v>9.2903562603617977E-3</v>
      </c>
      <c r="AA6">
        <v>3.5682079999999998</v>
      </c>
      <c r="AB6">
        <v>3.9404349999999999</v>
      </c>
      <c r="AC6">
        <v>3.6878839999999999</v>
      </c>
      <c r="AD6" s="1">
        <f t="shared" si="10"/>
        <v>3.7321756666666666</v>
      </c>
      <c r="AE6" s="1">
        <f t="shared" si="11"/>
        <v>0.10971105791173066</v>
      </c>
      <c r="AF6">
        <v>1.666892</v>
      </c>
      <c r="AG6">
        <v>1.6221000000000001</v>
      </c>
      <c r="AH6">
        <v>1.6567000000000001</v>
      </c>
      <c r="AI6" s="1">
        <f t="shared" si="12"/>
        <v>1.6485640000000001</v>
      </c>
      <c r="AJ6" s="1">
        <f t="shared" si="13"/>
        <v>1.3555155083337591E-2</v>
      </c>
      <c r="AK6">
        <v>0.94119699999999995</v>
      </c>
      <c r="AL6">
        <v>0.94316100000000003</v>
      </c>
      <c r="AM6">
        <v>0.87253999999999998</v>
      </c>
      <c r="AN6" s="1">
        <f t="shared" si="14"/>
        <v>0.91896600000000006</v>
      </c>
      <c r="AO6" s="1">
        <f t="shared" si="15"/>
        <v>2.3219922703000832E-2</v>
      </c>
      <c r="AP6">
        <v>59.198480000000004</v>
      </c>
      <c r="AQ6">
        <v>59.270166000000003</v>
      </c>
      <c r="AR6">
        <v>59.959912000000003</v>
      </c>
      <c r="AS6" s="1">
        <f t="shared" si="16"/>
        <v>59.476186000000006</v>
      </c>
      <c r="AT6" s="1">
        <f t="shared" si="17"/>
        <v>0.24274668068860022</v>
      </c>
      <c r="AU6">
        <v>47.19914</v>
      </c>
      <c r="AV6">
        <v>50.008634000000001</v>
      </c>
      <c r="AW6">
        <v>50.590043999999999</v>
      </c>
      <c r="AX6" s="1">
        <f t="shared" si="18"/>
        <v>49.265939333333336</v>
      </c>
      <c r="AY6" s="1">
        <f t="shared" si="19"/>
        <v>1.0469406239491861</v>
      </c>
      <c r="AZ6">
        <v>0.85267000000000004</v>
      </c>
      <c r="BA6">
        <v>0.86500200000000005</v>
      </c>
      <c r="BB6">
        <v>0.93571599999999999</v>
      </c>
      <c r="BC6" s="1">
        <f t="shared" si="20"/>
        <v>0.88446266666666673</v>
      </c>
      <c r="BD6" s="1">
        <f t="shared" si="21"/>
        <v>2.5872750719198315E-2</v>
      </c>
      <c r="BE6">
        <v>0.63328799999999996</v>
      </c>
      <c r="BF6">
        <v>0.62217500000000003</v>
      </c>
      <c r="BG6">
        <v>0.67245100000000002</v>
      </c>
      <c r="BH6" s="1">
        <f t="shared" si="22"/>
        <v>0.64263799999999993</v>
      </c>
      <c r="BI6" s="1">
        <f t="shared" si="23"/>
        <v>1.5247796769806891E-2</v>
      </c>
    </row>
    <row r="7" spans="1:61" x14ac:dyDescent="0.35">
      <c r="A7">
        <v>100</v>
      </c>
      <c r="G7">
        <v>164.312228</v>
      </c>
      <c r="H7" s="1">
        <v>174.90670299999999</v>
      </c>
      <c r="I7" s="1">
        <v>199.686094</v>
      </c>
      <c r="J7" s="1">
        <f t="shared" si="2"/>
        <v>179.63500833333333</v>
      </c>
      <c r="K7" s="1">
        <f>((SQRT(((G7-J7)^2+(H7-J7)^2+(I7-J7)^2)/2))/SQRT(3))</f>
        <v>10.481654647373354</v>
      </c>
      <c r="L7">
        <v>151.846092</v>
      </c>
      <c r="M7">
        <v>163.31888900000001</v>
      </c>
      <c r="N7">
        <v>164.15345400000001</v>
      </c>
      <c r="O7" s="1">
        <f t="shared" si="4"/>
        <v>159.77281166666668</v>
      </c>
      <c r="P7" s="1">
        <f>((SQRT(((L7-O7)^2+(M7-O7)^2+(N7-O7)^2)/2))/SQRT(3))</f>
        <v>3.9706753493684355</v>
      </c>
      <c r="Q7">
        <v>4.5979679999999998</v>
      </c>
      <c r="R7">
        <v>4.6326790000000004</v>
      </c>
      <c r="S7">
        <v>4.6812279999999999</v>
      </c>
      <c r="T7" s="1">
        <f t="shared" si="6"/>
        <v>4.637291666666667</v>
      </c>
      <c r="U7" s="1">
        <f>((SQRT(((Q7-T7)^2+(R7-T7)^2+(S7-T7)^2)/2))/SQRT(3))</f>
        <v>2.4145492473291542E-2</v>
      </c>
      <c r="V7">
        <v>2.9958520000000002</v>
      </c>
      <c r="W7">
        <v>3.004016</v>
      </c>
      <c r="X7">
        <v>3.1254010000000001</v>
      </c>
      <c r="Y7" s="1">
        <f t="shared" si="8"/>
        <v>3.0417563333333333</v>
      </c>
      <c r="Z7" s="1">
        <f>((SQRT(((V7-Y7)^2+(W7-Y7)^2+(X7-Y7)^2)/2))/SQRT(3))</f>
        <v>4.1888683516885294E-2</v>
      </c>
      <c r="AA7">
        <v>4.9069690000000001</v>
      </c>
      <c r="AB7">
        <v>4.8411369999999998</v>
      </c>
      <c r="AC7">
        <v>4.9645099999999998</v>
      </c>
      <c r="AD7" s="1">
        <f t="shared" si="10"/>
        <v>4.9042053333333335</v>
      </c>
      <c r="AE7" s="1">
        <f>((SQRT(((AA7-AD7)^2+(AB7-AD7)^2+(AC7-AD7)^2)/2))/SQRT(3))</f>
        <v>3.5641514522315745E-2</v>
      </c>
      <c r="AF7">
        <v>2.7094119999999999</v>
      </c>
      <c r="AG7">
        <v>2.8804889999999999</v>
      </c>
      <c r="AH7">
        <v>2.6781269999999999</v>
      </c>
      <c r="AI7" s="1">
        <f t="shared" si="12"/>
        <v>2.7560093333333331</v>
      </c>
      <c r="AJ7" s="1">
        <f>((SQRT(((AF7-AI7)^2+(AG7-AI7)^2+(AH7-AI7)^2)/2))/SQRT(3))</f>
        <v>6.289164853495606E-2</v>
      </c>
      <c r="AK7">
        <v>1.3041959999999999</v>
      </c>
      <c r="AL7">
        <v>1.3660509999999999</v>
      </c>
      <c r="AM7">
        <v>1.4990300000000001</v>
      </c>
      <c r="AN7" s="1">
        <f t="shared" si="14"/>
        <v>1.389759</v>
      </c>
      <c r="AO7" s="1">
        <f>((SQRT(((AK7-AN7)^2+(AL7-AN7)^2+(AM7-AN7)^2)/2))/SQRT(3))</f>
        <v>5.7479340743725835E-2</v>
      </c>
      <c r="AP7">
        <v>115.357992</v>
      </c>
      <c r="AQ7">
        <v>126.65491900000001</v>
      </c>
      <c r="AR7">
        <v>123.027773</v>
      </c>
      <c r="AS7" s="1">
        <f t="shared" si="16"/>
        <v>121.680228</v>
      </c>
      <c r="AT7" s="1">
        <f>((SQRT(((AP7-AS7)^2+(AQ7-AS7)^2+(AR7-AS7)^2)/2))/SQRT(3))</f>
        <v>3.330017420179713</v>
      </c>
      <c r="AU7">
        <v>90.585668999999996</v>
      </c>
      <c r="AV7">
        <v>83.353962999999993</v>
      </c>
      <c r="AW7">
        <v>94.474596000000005</v>
      </c>
      <c r="AX7" s="1">
        <f t="shared" si="18"/>
        <v>89.471409333333327</v>
      </c>
      <c r="AY7" s="1">
        <f>((SQRT(((AU7-AX7)^2+(AV7-AX7)^2+(AW7-AX7)^2)/2))/SQRT(3))</f>
        <v>3.2582357462151408</v>
      </c>
      <c r="AZ7">
        <v>1.408528</v>
      </c>
      <c r="BA7">
        <v>1.4075839999999999</v>
      </c>
      <c r="BB7">
        <v>1.366301</v>
      </c>
      <c r="BC7" s="1">
        <f t="shared" si="20"/>
        <v>1.3941376666666667</v>
      </c>
      <c r="BD7" s="1">
        <f>((SQRT(((AZ7-BC7)^2+(BA7-BC7)^2+(BB7-BC7)^2)/2))/SQRT(3))</f>
        <v>1.3921000830080826E-2</v>
      </c>
      <c r="BE7">
        <v>1.0632200000000001</v>
      </c>
      <c r="BF7">
        <v>0.96892199999999995</v>
      </c>
      <c r="BG7">
        <v>1.1485380000000001</v>
      </c>
      <c r="BH7" s="1">
        <f t="shared" si="22"/>
        <v>1.0602266666666667</v>
      </c>
      <c r="BI7" s="1">
        <f>((SQRT(((BE7-BH7)^2+(BF7-BH7)^2+(BG7-BH7)^2)/2))/SQRT(3))</f>
        <v>5.1872269076175127E-2</v>
      </c>
    </row>
    <row r="8" spans="1:61" x14ac:dyDescent="0.35">
      <c r="A8">
        <v>150</v>
      </c>
      <c r="H8" s="1"/>
      <c r="I8" s="1"/>
      <c r="J8" s="1"/>
      <c r="K8" s="1"/>
      <c r="Q8">
        <v>10.887167</v>
      </c>
      <c r="R8">
        <v>9.9682580000000005</v>
      </c>
      <c r="S8">
        <v>10.028416999999999</v>
      </c>
      <c r="T8" s="1">
        <f>AVERAGE(Q8,R8,S8)</f>
        <v>10.294614000000001</v>
      </c>
      <c r="U8" s="1">
        <f t="shared" ref="U8:U15" si="24">((SQRT(((Q8-T8)^2+(R8-T8)^2+(S8-T8)^2)/2))/SQRT(3))</f>
        <v>0.29678503425712016</v>
      </c>
      <c r="V8">
        <v>6.794473</v>
      </c>
      <c r="W8">
        <v>6.7405660000000003</v>
      </c>
      <c r="X8">
        <v>6.909999</v>
      </c>
      <c r="Y8" s="1">
        <f>AVERAGE(V8,W8,X8)</f>
        <v>6.8150126666666671</v>
      </c>
      <c r="Z8" s="1">
        <f t="shared" ref="Z8:Z15" si="25">((SQRT(((V8-Y8)^2+(W8-Y8)^2+(X8-Y8)^2)/2))/SQRT(3))</f>
        <v>4.9977641008532719E-2</v>
      </c>
      <c r="AA8">
        <v>9.1646169999999998</v>
      </c>
      <c r="AB8">
        <v>9.41845</v>
      </c>
      <c r="AC8">
        <v>9.5869300000000006</v>
      </c>
      <c r="AD8" s="1">
        <f>AVERAGE(AA8,AB8,AC8)</f>
        <v>9.3899990000000013</v>
      </c>
      <c r="AE8" s="1">
        <f t="shared" ref="AE8:AE15" si="26">((SQRT(((AA8-AD8)^2+(AB8-AD8)^2+(AC8-AD8)^2)/2))/SQRT(3))</f>
        <v>0.12273842381666816</v>
      </c>
      <c r="AF8">
        <v>6.1643800000000004</v>
      </c>
      <c r="AG8">
        <v>6.1392660000000001</v>
      </c>
      <c r="AH8">
        <v>6.2253449999999999</v>
      </c>
      <c r="AI8" s="1">
        <f>AVERAGE(AF8,AG8,AH8)</f>
        <v>6.1763303333333335</v>
      </c>
      <c r="AJ8" s="1">
        <f t="shared" ref="AJ8:AJ15" si="27">((SQRT(((AF8-AI8)^2+(AG8-AI8)^2+(AH8-AI8)^2)/2))/SQRT(3))</f>
        <v>2.5557167359557671E-2</v>
      </c>
      <c r="AK8">
        <v>2.714477</v>
      </c>
      <c r="AL8">
        <v>2.8113920000000001</v>
      </c>
      <c r="AM8">
        <v>2.6371380000000002</v>
      </c>
      <c r="AN8" s="1">
        <f>AVERAGE(AK8,AL8,AM8)</f>
        <v>2.7210023333333333</v>
      </c>
      <c r="AO8" s="1">
        <f t="shared" ref="AO8:AO21" si="28">((SQRT(((AK8-AN8)^2+(AL8-AN8)^2+(AM8-AN8)^2)/2))/SQRT(3))</f>
        <v>5.0408495019303133E-2</v>
      </c>
      <c r="AU8">
        <v>195.01640800000001</v>
      </c>
      <c r="AV8">
        <v>225.75059200000001</v>
      </c>
      <c r="AW8">
        <v>191.42287400000001</v>
      </c>
      <c r="AX8" s="1">
        <f t="shared" si="18"/>
        <v>204.06329133333335</v>
      </c>
      <c r="AY8" s="1">
        <f>((SQRT(((AU8-AX8)^2+(AV8-AX8)^2+(AW8-AX8)^2)/2))/SQRT(3))</f>
        <v>10.89315732171791</v>
      </c>
      <c r="AZ8">
        <v>2.7532679999999998</v>
      </c>
      <c r="BA8">
        <v>2.8361130000000001</v>
      </c>
      <c r="BB8">
        <v>2.7646069999999998</v>
      </c>
      <c r="BC8" s="1">
        <f t="shared" si="20"/>
        <v>2.7846626666666663</v>
      </c>
      <c r="BD8" s="1">
        <f>((SQRT(((AZ8-BC8)^2+(BA8-BC8)^2+(BB8-BC8)^2)/2))/SQRT(3))</f>
        <v>2.5932578161669852E-2</v>
      </c>
      <c r="BE8">
        <v>1.921564</v>
      </c>
      <c r="BF8">
        <v>1.9313279999999999</v>
      </c>
      <c r="BG8">
        <v>2.2088969999999999</v>
      </c>
      <c r="BH8" s="1">
        <f t="shared" si="22"/>
        <v>2.0205963333333332</v>
      </c>
      <c r="BI8" s="1">
        <f>((SQRT(((BE8-BH8)^2+(BF8-BH8)^2+(BG8-BH8)^2)/2))/SQRT(3))</f>
        <v>9.41925151384711E-2</v>
      </c>
    </row>
    <row r="9" spans="1:61" x14ac:dyDescent="0.35">
      <c r="A9">
        <v>200</v>
      </c>
      <c r="H9" s="1"/>
      <c r="I9" s="1"/>
      <c r="J9" s="1"/>
      <c r="K9" s="1"/>
      <c r="Q9">
        <v>18.685406</v>
      </c>
      <c r="R9">
        <v>18.644323</v>
      </c>
      <c r="S9">
        <v>19.269234999999998</v>
      </c>
      <c r="T9" s="1">
        <f t="shared" si="6"/>
        <v>18.866321333333332</v>
      </c>
      <c r="U9" s="1">
        <f t="shared" si="24"/>
        <v>0.20180561630137439</v>
      </c>
      <c r="V9">
        <v>11.632652999999999</v>
      </c>
      <c r="W9">
        <v>11.581318</v>
      </c>
      <c r="X9">
        <v>11.622498999999999</v>
      </c>
      <c r="Y9" s="1">
        <f t="shared" si="8"/>
        <v>11.612156666666666</v>
      </c>
      <c r="Z9" s="1">
        <f t="shared" si="25"/>
        <v>1.5695471218723472E-2</v>
      </c>
      <c r="AA9">
        <v>14.727869999999999</v>
      </c>
      <c r="AB9">
        <v>14.358834999999999</v>
      </c>
      <c r="AC9">
        <v>14.448974</v>
      </c>
      <c r="AD9" s="1">
        <f t="shared" si="10"/>
        <v>14.511893000000001</v>
      </c>
      <c r="AE9" s="1">
        <f t="shared" si="26"/>
        <v>0.11107926333179087</v>
      </c>
      <c r="AF9">
        <v>10.259399999999999</v>
      </c>
      <c r="AG9">
        <v>10.448947</v>
      </c>
      <c r="AH9">
        <v>10.394988</v>
      </c>
      <c r="AI9" s="1">
        <f t="shared" si="12"/>
        <v>10.367778333333334</v>
      </c>
      <c r="AJ9" s="1">
        <f t="shared" si="27"/>
        <v>5.6383480950639622E-2</v>
      </c>
      <c r="AK9">
        <v>5.2221010000000003</v>
      </c>
      <c r="AL9">
        <v>4.6567949999999998</v>
      </c>
      <c r="AM9">
        <v>4.5395240000000001</v>
      </c>
      <c r="AN9" s="1">
        <f t="shared" si="14"/>
        <v>4.8061400000000001</v>
      </c>
      <c r="AO9" s="1">
        <f t="shared" si="28"/>
        <v>0.21071765232256501</v>
      </c>
      <c r="AZ9">
        <v>4.5333769999999998</v>
      </c>
      <c r="BA9">
        <v>4.6706320000000003</v>
      </c>
      <c r="BB9">
        <v>4.731001</v>
      </c>
      <c r="BC9" s="1">
        <f t="shared" si="20"/>
        <v>4.6450033333333325</v>
      </c>
      <c r="BD9" s="1">
        <f t="shared" ref="BD9:BD22" si="29">((SQRT(((AZ9-BC9)^2+(BA9-BC9)^2+(BB9-BC9)^2)/2))/SQRT(3))</f>
        <v>5.8470598766483681E-2</v>
      </c>
      <c r="BE9">
        <v>3.3097599999999998</v>
      </c>
      <c r="BF9">
        <v>3.1045950000000002</v>
      </c>
      <c r="BG9">
        <v>3.4150299999999998</v>
      </c>
      <c r="BH9" s="1">
        <f t="shared" si="22"/>
        <v>3.2764616666666666</v>
      </c>
      <c r="BI9" s="1">
        <f t="shared" ref="BI9:BI22" si="30">((SQRT(((BE9-BH9)^2+(BF9-BH9)^2+(BG9-BH9)^2)/2))/SQRT(3))</f>
        <v>9.1148334339019907E-2</v>
      </c>
    </row>
    <row r="10" spans="1:61" x14ac:dyDescent="0.35">
      <c r="A10">
        <v>250</v>
      </c>
      <c r="H10" s="1"/>
      <c r="I10" s="1"/>
      <c r="J10" s="1"/>
      <c r="K10" s="1"/>
      <c r="Q10">
        <v>34.795301000000002</v>
      </c>
      <c r="R10">
        <v>33.728079000000001</v>
      </c>
      <c r="S10">
        <v>33.581291999999998</v>
      </c>
      <c r="T10" s="1">
        <f t="shared" si="6"/>
        <v>34.034890666666662</v>
      </c>
      <c r="U10" s="1">
        <f t="shared" si="24"/>
        <v>0.38255915103520732</v>
      </c>
      <c r="V10">
        <v>17.612199</v>
      </c>
      <c r="W10">
        <v>17.690318999999999</v>
      </c>
      <c r="X10">
        <v>17.949681000000002</v>
      </c>
      <c r="Y10" s="1">
        <f t="shared" si="8"/>
        <v>17.750733</v>
      </c>
      <c r="Z10" s="1">
        <f t="shared" si="25"/>
        <v>0.10199822486690699</v>
      </c>
      <c r="AA10">
        <v>20.757612999999999</v>
      </c>
      <c r="AB10">
        <v>21.420795999999999</v>
      </c>
      <c r="AC10">
        <v>21.100954999999999</v>
      </c>
      <c r="AD10" s="1">
        <f t="shared" si="10"/>
        <v>21.093121333333333</v>
      </c>
      <c r="AE10" s="1">
        <f t="shared" si="26"/>
        <v>0.19148450557188987</v>
      </c>
      <c r="AF10">
        <v>15.685442</v>
      </c>
      <c r="AG10">
        <v>15.971861000000001</v>
      </c>
      <c r="AH10">
        <v>16.105138</v>
      </c>
      <c r="AI10" s="1">
        <f t="shared" si="12"/>
        <v>15.920813666666666</v>
      </c>
      <c r="AJ10" s="1">
        <f t="shared" si="27"/>
        <v>0.12381512533388019</v>
      </c>
      <c r="AK10">
        <v>7.6860520000000001</v>
      </c>
      <c r="AL10">
        <v>7.7362849999999996</v>
      </c>
      <c r="AM10">
        <v>7.5589029999999999</v>
      </c>
      <c r="AN10" s="1">
        <f t="shared" si="14"/>
        <v>7.6604133333333335</v>
      </c>
      <c r="AO10" s="1">
        <f t="shared" si="28"/>
        <v>5.278604424887736E-2</v>
      </c>
      <c r="AZ10">
        <v>6.8538189999999997</v>
      </c>
      <c r="BA10">
        <v>7.3665479999999999</v>
      </c>
      <c r="BB10">
        <v>7.6011179999999996</v>
      </c>
      <c r="BC10" s="1">
        <f t="shared" si="20"/>
        <v>7.2738283333333333</v>
      </c>
      <c r="BD10" s="1">
        <f t="shared" si="29"/>
        <v>0.22065180057452011</v>
      </c>
      <c r="BE10">
        <v>4.9099490000000001</v>
      </c>
      <c r="BF10">
        <v>5.0523680000000004</v>
      </c>
      <c r="BG10">
        <v>4.9650740000000004</v>
      </c>
      <c r="BH10" s="1">
        <f t="shared" si="22"/>
        <v>4.975797</v>
      </c>
      <c r="BI10" s="1">
        <f t="shared" si="30"/>
        <v>4.146094522559763E-2</v>
      </c>
    </row>
    <row r="11" spans="1:61" x14ac:dyDescent="0.35">
      <c r="A11">
        <v>300</v>
      </c>
      <c r="H11" s="1"/>
      <c r="I11" s="1"/>
      <c r="J11" s="1"/>
      <c r="K11" s="1"/>
      <c r="Q11">
        <v>48.089060000000003</v>
      </c>
      <c r="R11">
        <v>48.907786000000002</v>
      </c>
      <c r="S11">
        <v>49.500252000000003</v>
      </c>
      <c r="T11" s="1">
        <f t="shared" si="6"/>
        <v>48.832366</v>
      </c>
      <c r="U11" s="1">
        <f t="shared" si="24"/>
        <v>0.40911768784218222</v>
      </c>
      <c r="V11">
        <v>27.194307999999999</v>
      </c>
      <c r="W11">
        <v>30.382394000000001</v>
      </c>
      <c r="X11">
        <v>27.634191000000001</v>
      </c>
      <c r="Y11" s="1">
        <f t="shared" si="8"/>
        <v>28.403631000000001</v>
      </c>
      <c r="Z11" s="1">
        <f t="shared" si="25"/>
        <v>0.99749712130729196</v>
      </c>
      <c r="AA11">
        <v>27.981128999999999</v>
      </c>
      <c r="AB11">
        <v>28.144691000000002</v>
      </c>
      <c r="AC11">
        <v>28.306854000000001</v>
      </c>
      <c r="AD11" s="1">
        <f t="shared" si="10"/>
        <v>28.14422466666667</v>
      </c>
      <c r="AE11" s="1">
        <f t="shared" si="26"/>
        <v>9.4028997311704637E-2</v>
      </c>
      <c r="AF11">
        <v>24.826231</v>
      </c>
      <c r="AG11">
        <v>25.629622999999999</v>
      </c>
      <c r="AH11">
        <v>25.187370000000001</v>
      </c>
      <c r="AI11" s="1">
        <f t="shared" si="12"/>
        <v>25.214408000000002</v>
      </c>
      <c r="AJ11" s="1">
        <f t="shared" si="27"/>
        <v>0.23231298320656371</v>
      </c>
      <c r="AK11">
        <v>10.866121</v>
      </c>
      <c r="AL11">
        <v>11.23916</v>
      </c>
      <c r="AM11">
        <v>11.034345999999999</v>
      </c>
      <c r="AN11" s="1">
        <f t="shared" si="14"/>
        <v>11.046542333333333</v>
      </c>
      <c r="AO11" s="1">
        <f t="shared" si="28"/>
        <v>0.10785961059070166</v>
      </c>
      <c r="AZ11">
        <v>11.090256999999999</v>
      </c>
      <c r="BA11">
        <v>10.613288000000001</v>
      </c>
      <c r="BB11">
        <v>11.826243</v>
      </c>
      <c r="BC11" s="1">
        <f t="shared" si="20"/>
        <v>11.176595999999998</v>
      </c>
      <c r="BD11" s="1">
        <f t="shared" si="29"/>
        <v>0.35280106537868217</v>
      </c>
      <c r="BE11">
        <v>7.4344659999999996</v>
      </c>
      <c r="BF11">
        <v>6.9826240000000004</v>
      </c>
      <c r="BG11">
        <v>7.1025270000000003</v>
      </c>
      <c r="BH11" s="1">
        <f t="shared" si="22"/>
        <v>7.173205666666667</v>
      </c>
      <c r="BI11" s="1">
        <f t="shared" si="30"/>
        <v>0.13513808207697925</v>
      </c>
    </row>
    <row r="12" spans="1:61" x14ac:dyDescent="0.35">
      <c r="A12">
        <v>350</v>
      </c>
      <c r="H12" s="1"/>
      <c r="I12" s="1"/>
      <c r="J12" s="1"/>
      <c r="K12" s="1"/>
      <c r="Q12">
        <v>68.985667000000007</v>
      </c>
      <c r="R12">
        <v>70.266829999999999</v>
      </c>
      <c r="S12">
        <v>67.365615000000005</v>
      </c>
      <c r="T12" s="1">
        <f t="shared" si="6"/>
        <v>68.872703999999999</v>
      </c>
      <c r="U12" s="1">
        <f t="shared" si="24"/>
        <v>0.83941102339338536</v>
      </c>
      <c r="V12">
        <v>37.288950999999997</v>
      </c>
      <c r="W12">
        <v>36.990124000000002</v>
      </c>
      <c r="X12">
        <v>36.500833999999998</v>
      </c>
      <c r="Y12" s="1">
        <f>AVERAGE(V12,W12,X12)</f>
        <v>36.926636333333335</v>
      </c>
      <c r="Z12" s="1">
        <f t="shared" si="25"/>
        <v>0.22971367270752047</v>
      </c>
      <c r="AA12">
        <v>35.883792999999997</v>
      </c>
      <c r="AB12">
        <v>35.651124000000003</v>
      </c>
      <c r="AC12">
        <v>35.824803000000003</v>
      </c>
      <c r="AD12" s="1">
        <f t="shared" si="10"/>
        <v>35.786573333333337</v>
      </c>
      <c r="AE12" s="1">
        <f t="shared" si="26"/>
        <v>6.9832767977821536E-2</v>
      </c>
      <c r="AF12">
        <v>32.849359999999997</v>
      </c>
      <c r="AG12">
        <v>33.206643</v>
      </c>
      <c r="AH12">
        <v>33.117643999999999</v>
      </c>
      <c r="AI12" s="1">
        <f t="shared" si="12"/>
        <v>33.057882333333332</v>
      </c>
      <c r="AJ12" s="1">
        <f t="shared" si="27"/>
        <v>0.10737997660075144</v>
      </c>
      <c r="AK12">
        <v>15.395799</v>
      </c>
      <c r="AL12">
        <v>14.723401000000001</v>
      </c>
      <c r="AM12">
        <v>16.712897999999999</v>
      </c>
      <c r="AN12" s="1">
        <f t="shared" si="14"/>
        <v>15.610699333333335</v>
      </c>
      <c r="AO12" s="1">
        <f t="shared" si="28"/>
        <v>0.58428337679654829</v>
      </c>
      <c r="AZ12">
        <v>16.718167999999999</v>
      </c>
      <c r="BA12">
        <v>18.622322</v>
      </c>
      <c r="BB12">
        <v>17.893730999999999</v>
      </c>
      <c r="BC12" s="1">
        <f t="shared" si="20"/>
        <v>17.744740333333336</v>
      </c>
      <c r="BD12" s="1">
        <f t="shared" si="29"/>
        <v>0.55470691300131192</v>
      </c>
      <c r="BE12">
        <v>9.3070260000000005</v>
      </c>
      <c r="BF12">
        <v>9.3742350000000005</v>
      </c>
      <c r="BG12">
        <v>9.5191429999999997</v>
      </c>
      <c r="BH12" s="1">
        <f t="shared" si="22"/>
        <v>9.4001346666666663</v>
      </c>
      <c r="BI12" s="1">
        <f t="shared" si="30"/>
        <v>6.2587272327881596E-2</v>
      </c>
    </row>
    <row r="13" spans="1:61" x14ac:dyDescent="0.35">
      <c r="A13">
        <v>400</v>
      </c>
      <c r="H13" s="1"/>
      <c r="I13" s="1"/>
      <c r="J13" s="1"/>
      <c r="K13" s="1"/>
      <c r="Q13">
        <v>87.529497000000006</v>
      </c>
      <c r="R13">
        <v>89.449979999999996</v>
      </c>
      <c r="S13">
        <v>87.178799999999995</v>
      </c>
      <c r="T13" s="1">
        <f t="shared" si="6"/>
        <v>88.052758999999995</v>
      </c>
      <c r="U13" s="1">
        <f t="shared" si="24"/>
        <v>0.70590768720916952</v>
      </c>
      <c r="V13">
        <v>47.643658000000002</v>
      </c>
      <c r="W13">
        <v>47.174311000000003</v>
      </c>
      <c r="X13">
        <v>48.569186999999999</v>
      </c>
      <c r="Y13" s="1">
        <f t="shared" si="8"/>
        <v>47.795718666666666</v>
      </c>
      <c r="Z13" s="1">
        <f t="shared" si="25"/>
        <v>0.40978107919730777</v>
      </c>
      <c r="AA13">
        <v>43.990361999999998</v>
      </c>
      <c r="AB13">
        <v>45.396515999999998</v>
      </c>
      <c r="AC13">
        <v>43.484181</v>
      </c>
      <c r="AD13" s="1">
        <f t="shared" si="10"/>
        <v>44.290353000000003</v>
      </c>
      <c r="AE13" s="1">
        <f t="shared" si="26"/>
        <v>0.57205834146439982</v>
      </c>
      <c r="AF13">
        <v>42.894429000000002</v>
      </c>
      <c r="AG13">
        <v>42.767667000000003</v>
      </c>
      <c r="AH13">
        <v>42.481791999999999</v>
      </c>
      <c r="AI13" s="1">
        <f t="shared" si="12"/>
        <v>42.714629333333335</v>
      </c>
      <c r="AJ13" s="1">
        <f t="shared" si="27"/>
        <v>0.12203424247089316</v>
      </c>
      <c r="AK13">
        <v>19.187276000000001</v>
      </c>
      <c r="AL13">
        <v>20.520012000000001</v>
      </c>
      <c r="AM13">
        <v>21.344265</v>
      </c>
      <c r="AN13" s="1">
        <f t="shared" si="14"/>
        <v>20.350517666666669</v>
      </c>
      <c r="AO13" s="1">
        <f t="shared" si="28"/>
        <v>0.6284098008211767</v>
      </c>
      <c r="AZ13">
        <v>22.648247999999999</v>
      </c>
      <c r="BA13">
        <v>20.833534</v>
      </c>
      <c r="BB13">
        <v>23.198433000000001</v>
      </c>
      <c r="BC13" s="1">
        <f t="shared" si="20"/>
        <v>22.226738333333333</v>
      </c>
      <c r="BD13" s="1">
        <f t="shared" si="29"/>
        <v>0.7144787422474127</v>
      </c>
      <c r="BE13">
        <v>11.913458</v>
      </c>
      <c r="BF13">
        <v>11.953014</v>
      </c>
      <c r="BG13">
        <v>12.254265999999999</v>
      </c>
      <c r="BH13" s="1">
        <f t="shared" si="22"/>
        <v>12.040246000000002</v>
      </c>
      <c r="BI13" s="1">
        <f t="shared" si="30"/>
        <v>0.10761751651721616</v>
      </c>
    </row>
    <row r="14" spans="1:61" x14ac:dyDescent="0.35">
      <c r="A14">
        <v>450</v>
      </c>
      <c r="H14" s="1"/>
      <c r="I14" s="1"/>
      <c r="J14" s="1"/>
      <c r="K14" s="1"/>
      <c r="Q14">
        <v>105.60047900000001</v>
      </c>
      <c r="R14">
        <v>110.512255</v>
      </c>
      <c r="S14">
        <v>109.00246300000001</v>
      </c>
      <c r="T14" s="1">
        <f t="shared" si="6"/>
        <v>108.37173233333333</v>
      </c>
      <c r="U14" s="1">
        <f t="shared" si="24"/>
        <v>1.452555420508894</v>
      </c>
      <c r="V14">
        <v>58.989199999999997</v>
      </c>
      <c r="W14">
        <v>58.683928000000002</v>
      </c>
      <c r="X14">
        <v>60.339745999999998</v>
      </c>
      <c r="Y14" s="1">
        <f t="shared" si="8"/>
        <v>59.337624666666663</v>
      </c>
      <c r="Z14" s="1">
        <f t="shared" si="25"/>
        <v>0.50875112564571023</v>
      </c>
      <c r="AA14">
        <v>55.813941</v>
      </c>
      <c r="AB14">
        <v>56.291508</v>
      </c>
      <c r="AC14">
        <v>53.041894999999997</v>
      </c>
      <c r="AD14" s="1">
        <f t="shared" si="10"/>
        <v>55.049114666666661</v>
      </c>
      <c r="AE14" s="1">
        <f t="shared" si="26"/>
        <v>1.0130343285664676</v>
      </c>
      <c r="AF14">
        <v>53.924083000000003</v>
      </c>
      <c r="AG14">
        <v>53.597194000000002</v>
      </c>
      <c r="AH14">
        <v>53.720892999999997</v>
      </c>
      <c r="AI14" s="1">
        <f t="shared" si="12"/>
        <v>53.747389999999996</v>
      </c>
      <c r="AJ14" s="1">
        <f t="shared" si="27"/>
        <v>9.5290210824617888E-2</v>
      </c>
      <c r="AK14">
        <v>26.959516000000001</v>
      </c>
      <c r="AL14">
        <v>29.085529000000001</v>
      </c>
      <c r="AM14">
        <v>29.439264999999999</v>
      </c>
      <c r="AN14" s="1">
        <f t="shared" si="14"/>
        <v>28.494769999999999</v>
      </c>
      <c r="AO14" s="1">
        <f t="shared" si="28"/>
        <v>0.77438920507519959</v>
      </c>
      <c r="AZ14">
        <v>26.427803000000001</v>
      </c>
      <c r="BA14">
        <v>27.866251999999999</v>
      </c>
      <c r="BB14">
        <v>29.738648000000001</v>
      </c>
      <c r="BC14" s="1">
        <f t="shared" si="20"/>
        <v>28.010901</v>
      </c>
      <c r="BD14" s="1">
        <f t="shared" si="29"/>
        <v>0.95849120208221028</v>
      </c>
      <c r="BE14">
        <v>17.803612000000001</v>
      </c>
      <c r="BF14">
        <v>15.19173</v>
      </c>
      <c r="BG14">
        <v>15.163716000000001</v>
      </c>
      <c r="BH14" s="1">
        <f t="shared" si="22"/>
        <v>16.053019333333335</v>
      </c>
      <c r="BI14" s="1">
        <f t="shared" si="30"/>
        <v>0.87533369056022192</v>
      </c>
    </row>
    <row r="15" spans="1:61" x14ac:dyDescent="0.35">
      <c r="A15">
        <v>500</v>
      </c>
      <c r="H15" s="1"/>
      <c r="I15" s="1"/>
      <c r="J15" s="1"/>
      <c r="K15" s="1"/>
      <c r="Q15">
        <v>137.54301000000001</v>
      </c>
      <c r="R15">
        <v>137.66420099999999</v>
      </c>
      <c r="S15">
        <v>140.634377</v>
      </c>
      <c r="T15" s="1">
        <f t="shared" si="6"/>
        <v>138.61386266666668</v>
      </c>
      <c r="U15" s="1">
        <f t="shared" si="24"/>
        <v>1.0108627409337585</v>
      </c>
      <c r="V15">
        <v>73.607139000000004</v>
      </c>
      <c r="W15">
        <v>73.036026000000007</v>
      </c>
      <c r="X15">
        <v>73.844336999999996</v>
      </c>
      <c r="Y15" s="1">
        <f t="shared" si="8"/>
        <v>73.495834000000002</v>
      </c>
      <c r="Z15" s="1">
        <f t="shared" si="25"/>
        <v>0.23988418764686975</v>
      </c>
      <c r="AA15">
        <v>63.099960000000003</v>
      </c>
      <c r="AB15">
        <v>67.187545</v>
      </c>
      <c r="AC15">
        <v>66.602999999999994</v>
      </c>
      <c r="AD15" s="1">
        <f t="shared" si="10"/>
        <v>65.630168333333344</v>
      </c>
      <c r="AE15" s="1">
        <f t="shared" si="26"/>
        <v>1.2763083315834933</v>
      </c>
      <c r="AF15">
        <v>66.303798999999998</v>
      </c>
      <c r="AG15">
        <v>66.715343000000004</v>
      </c>
      <c r="AH15">
        <v>68.623491999999999</v>
      </c>
      <c r="AI15" s="1">
        <f t="shared" si="12"/>
        <v>67.214211333333324</v>
      </c>
      <c r="AJ15" s="1">
        <f t="shared" si="27"/>
        <v>0.71458522096489219</v>
      </c>
      <c r="AK15">
        <v>32.923329000000003</v>
      </c>
      <c r="AL15">
        <v>36.908332999999999</v>
      </c>
      <c r="AM15">
        <v>34.753225</v>
      </c>
      <c r="AN15" s="1">
        <f t="shared" si="14"/>
        <v>34.861629000000001</v>
      </c>
      <c r="AO15" s="1">
        <f t="shared" si="28"/>
        <v>1.1516477746278726</v>
      </c>
      <c r="AZ15">
        <v>33.706082000000002</v>
      </c>
      <c r="BA15">
        <v>32.231321999999999</v>
      </c>
      <c r="BB15">
        <v>33.084006000000002</v>
      </c>
      <c r="BC15" s="1">
        <f t="shared" si="20"/>
        <v>33.007136666666668</v>
      </c>
      <c r="BD15" s="1">
        <f t="shared" si="29"/>
        <v>0.42745796487504129</v>
      </c>
      <c r="BE15">
        <v>18.285256</v>
      </c>
      <c r="BF15">
        <v>18.17606</v>
      </c>
      <c r="BG15">
        <v>18.458352999999999</v>
      </c>
      <c r="BH15" s="1">
        <f t="shared" si="22"/>
        <v>18.306556333333333</v>
      </c>
      <c r="BI15" s="1">
        <f t="shared" si="30"/>
        <v>8.2183965614413296E-2</v>
      </c>
    </row>
    <row r="16" spans="1:61" x14ac:dyDescent="0.35">
      <c r="A16">
        <v>550</v>
      </c>
      <c r="H16" s="1"/>
      <c r="I16" s="1"/>
      <c r="J16" s="1"/>
      <c r="K16" s="1"/>
      <c r="T16" s="1"/>
      <c r="V16">
        <v>97.285067999999995</v>
      </c>
      <c r="W16">
        <v>96.271023</v>
      </c>
      <c r="X16">
        <v>100.374504</v>
      </c>
      <c r="Y16" s="1">
        <f t="shared" si="8"/>
        <v>97.976864999999989</v>
      </c>
      <c r="Z16" s="1">
        <f>((SQRT(((V16-Y16)^2+(W16-Y16)^2+(X16-Y16)^2)/2))/SQRT(3))</f>
        <v>1.2340416519506152</v>
      </c>
      <c r="AA16">
        <v>86.143973000000003</v>
      </c>
      <c r="AB16">
        <v>86.555744000000004</v>
      </c>
      <c r="AC16">
        <v>86.332806000000005</v>
      </c>
      <c r="AD16" s="1">
        <f t="shared" si="10"/>
        <v>86.344174333333342</v>
      </c>
      <c r="AE16" s="1">
        <f>((SQRT(((AA16-AD16)^2+(AB16-AD16)^2+(AC16-AD16)^2)/2))/SQRT(3))</f>
        <v>0.11900387719500803</v>
      </c>
      <c r="AF16">
        <v>88.563224000000005</v>
      </c>
      <c r="AG16">
        <v>88.396071000000006</v>
      </c>
      <c r="AH16">
        <v>89.457820999999996</v>
      </c>
      <c r="AI16" s="1">
        <f t="shared" si="12"/>
        <v>88.805705333333322</v>
      </c>
      <c r="AJ16" s="1">
        <f>((SQRT(((AF16-AI16)^2+(AG16-AI16)^2+(AH16-AI16)^2)/2))/SQRT(3))</f>
        <v>0.32960894172050137</v>
      </c>
      <c r="AK16">
        <v>41.411785000000002</v>
      </c>
      <c r="AL16">
        <v>43.458086000000002</v>
      </c>
      <c r="AM16">
        <v>40.590932000000002</v>
      </c>
      <c r="AN16" s="1">
        <f t="shared" si="14"/>
        <v>41.820267666666666</v>
      </c>
      <c r="AO16" s="1">
        <f t="shared" si="28"/>
        <v>0.85250348614230165</v>
      </c>
      <c r="AZ16">
        <v>40.729528999999999</v>
      </c>
      <c r="BA16">
        <v>40.550330000000002</v>
      </c>
      <c r="BB16">
        <v>38.699657000000002</v>
      </c>
      <c r="BC16" s="1">
        <f t="shared" si="20"/>
        <v>39.993172000000001</v>
      </c>
      <c r="BD16" s="1">
        <f t="shared" si="29"/>
        <v>0.64882300149809702</v>
      </c>
      <c r="BE16">
        <v>23.372653</v>
      </c>
      <c r="BF16">
        <v>22.486930000000001</v>
      </c>
      <c r="BG16">
        <v>22.654378000000001</v>
      </c>
      <c r="BH16" s="1">
        <f t="shared" si="22"/>
        <v>22.837986999999998</v>
      </c>
      <c r="BI16" s="1">
        <f t="shared" si="30"/>
        <v>0.27166800010490705</v>
      </c>
    </row>
    <row r="17" spans="1:61" x14ac:dyDescent="0.35">
      <c r="A17">
        <v>600</v>
      </c>
      <c r="V17">
        <v>113.73721500000001</v>
      </c>
      <c r="W17">
        <v>114.159327</v>
      </c>
      <c r="X17">
        <v>113.23794599999999</v>
      </c>
      <c r="Y17" s="1">
        <f t="shared" si="8"/>
        <v>113.71149600000001</v>
      </c>
      <c r="Z17" s="1">
        <f t="shared" ref="Z17" si="31">((SQRT(((V17-Y17)^2+(W17-Y17)^2+(X17-Y17)^2)/2))/SQRT(3))</f>
        <v>0.26629046610234047</v>
      </c>
      <c r="AA17">
        <v>97.041149000000004</v>
      </c>
      <c r="AB17">
        <v>96.666706000000005</v>
      </c>
      <c r="AC17">
        <v>95.053466999999998</v>
      </c>
      <c r="AD17" s="1">
        <f t="shared" si="10"/>
        <v>96.253774000000007</v>
      </c>
      <c r="AE17" s="1">
        <f t="shared" ref="AE17" si="32">((SQRT(((AA17-AD17)^2+(AB17-AD17)^2+(AC17-AD17)^2)/2))/SQRT(3))</f>
        <v>0.60980995967295926</v>
      </c>
      <c r="AF17">
        <v>103.95751799999999</v>
      </c>
      <c r="AG17">
        <v>104.51160900000001</v>
      </c>
      <c r="AH17">
        <v>104.610697</v>
      </c>
      <c r="AI17" s="1">
        <f t="shared" si="12"/>
        <v>104.35994133333334</v>
      </c>
      <c r="AJ17" s="1">
        <f t="shared" ref="AJ17" si="33">((SQRT(((AF17-AI17)^2+(AG17-AI17)^2+(AH17-AI17)^2)/2))/SQRT(3))</f>
        <v>0.20323468564227057</v>
      </c>
      <c r="AK17">
        <v>49.580720999999997</v>
      </c>
      <c r="AL17">
        <v>49.658355</v>
      </c>
      <c r="AM17">
        <v>51.939825999999996</v>
      </c>
      <c r="AN17" s="1">
        <f t="shared" si="14"/>
        <v>50.392967333333331</v>
      </c>
      <c r="AO17" s="1">
        <f t="shared" si="28"/>
        <v>0.77375395754945475</v>
      </c>
      <c r="AZ17">
        <v>38.897795000000002</v>
      </c>
      <c r="BA17">
        <v>42.779359999999997</v>
      </c>
      <c r="BB17">
        <v>44.644514000000001</v>
      </c>
      <c r="BC17" s="1">
        <f t="shared" si="20"/>
        <v>42.107222999999998</v>
      </c>
      <c r="BD17" s="1">
        <f t="shared" si="29"/>
        <v>1.6926331485112178</v>
      </c>
      <c r="BE17">
        <v>25.518805</v>
      </c>
      <c r="BF17">
        <v>25.908028000000002</v>
      </c>
      <c r="BG17">
        <v>26.76013</v>
      </c>
      <c r="BH17" s="1">
        <f t="shared" si="22"/>
        <v>26.062321000000001</v>
      </c>
      <c r="BI17" s="1">
        <f t="shared" si="30"/>
        <v>0.36654999035738622</v>
      </c>
    </row>
    <row r="18" spans="1:61" x14ac:dyDescent="0.35">
      <c r="A18">
        <v>650</v>
      </c>
      <c r="Y18" s="1"/>
      <c r="AA18">
        <v>115.434591</v>
      </c>
      <c r="AB18">
        <v>116.863311</v>
      </c>
      <c r="AC18">
        <v>115.612021</v>
      </c>
      <c r="AD18" s="1">
        <f t="shared" si="10"/>
        <v>115.96997433333333</v>
      </c>
      <c r="AE18" s="1">
        <f>((SQRT(((AA18-AD18)^2+(AB18-AD18)^2+(AC18-AD18)^2)/2))/SQRT(3))</f>
        <v>0.44959542970442945</v>
      </c>
      <c r="AK18">
        <v>59.197789</v>
      </c>
      <c r="AL18">
        <v>63.822713</v>
      </c>
      <c r="AM18">
        <v>61.106752</v>
      </c>
      <c r="AN18" s="1">
        <f t="shared" si="14"/>
        <v>61.375751333333334</v>
      </c>
      <c r="AO18" s="1">
        <f t="shared" si="28"/>
        <v>1.3418582864128306</v>
      </c>
      <c r="AZ18">
        <v>51.787396000000001</v>
      </c>
      <c r="BA18">
        <v>46.430236999999998</v>
      </c>
      <c r="BB18">
        <v>52.045571000000002</v>
      </c>
      <c r="BC18" s="1">
        <f t="shared" si="20"/>
        <v>50.08773466666667</v>
      </c>
      <c r="BD18" s="1">
        <f t="shared" si="29"/>
        <v>1.8302668720626825</v>
      </c>
      <c r="BE18">
        <v>30.435822000000002</v>
      </c>
      <c r="BF18">
        <v>30.963721</v>
      </c>
      <c r="BG18">
        <v>30.584112000000001</v>
      </c>
      <c r="BH18" s="1">
        <f t="shared" si="22"/>
        <v>30.661218333333334</v>
      </c>
      <c r="BI18" s="1">
        <f t="shared" si="30"/>
        <v>0.15719242828492383</v>
      </c>
    </row>
    <row r="19" spans="1:61" x14ac:dyDescent="0.35">
      <c r="A19">
        <v>700</v>
      </c>
      <c r="Y19" s="1"/>
      <c r="AK19">
        <v>68.364990000000006</v>
      </c>
      <c r="AL19">
        <v>69.949279000000004</v>
      </c>
      <c r="AM19">
        <v>68.043244000000001</v>
      </c>
      <c r="AN19" s="1">
        <f t="shared" si="14"/>
        <v>68.78583766666668</v>
      </c>
      <c r="AO19" s="1">
        <f t="shared" si="28"/>
        <v>0.58908882301690701</v>
      </c>
      <c r="AZ19">
        <v>60.881549999999997</v>
      </c>
      <c r="BA19">
        <v>51.955455000000001</v>
      </c>
      <c r="BB19">
        <v>59.414512999999999</v>
      </c>
      <c r="BC19" s="1">
        <f t="shared" si="20"/>
        <v>57.417172666666666</v>
      </c>
      <c r="BD19" s="1">
        <f t="shared" si="29"/>
        <v>2.7635013595453097</v>
      </c>
      <c r="BE19">
        <v>35.376480999999998</v>
      </c>
      <c r="BF19">
        <v>36.239311999999998</v>
      </c>
      <c r="BG19">
        <v>36.217283999999999</v>
      </c>
      <c r="BH19" s="1">
        <f t="shared" si="22"/>
        <v>35.944358999999999</v>
      </c>
      <c r="BI19" s="1">
        <f t="shared" si="30"/>
        <v>0.28401019662387728</v>
      </c>
    </row>
    <row r="20" spans="1:61" x14ac:dyDescent="0.35">
      <c r="A20">
        <v>800</v>
      </c>
      <c r="AK20">
        <v>77.585376999999994</v>
      </c>
      <c r="AL20">
        <v>84.390974999999997</v>
      </c>
      <c r="AM20">
        <v>83.500217000000006</v>
      </c>
      <c r="AN20" s="1">
        <f t="shared" si="14"/>
        <v>81.82552299999999</v>
      </c>
      <c r="AO20" s="1">
        <f t="shared" si="28"/>
        <v>2.1356100634735133</v>
      </c>
      <c r="AZ20">
        <v>66.371790000000004</v>
      </c>
      <c r="BA20">
        <v>63.599688</v>
      </c>
      <c r="BB20">
        <v>64.101761999999994</v>
      </c>
      <c r="BC20" s="1">
        <f t="shared" si="20"/>
        <v>64.691079999999999</v>
      </c>
      <c r="BD20" s="1">
        <f t="shared" si="29"/>
        <v>0.85276201319477385</v>
      </c>
      <c r="BE20">
        <v>46.409559000000002</v>
      </c>
      <c r="BF20">
        <v>45.434018000000002</v>
      </c>
      <c r="BG20">
        <v>45.887194000000001</v>
      </c>
      <c r="BH20" s="1">
        <f t="shared" si="22"/>
        <v>45.910257000000001</v>
      </c>
      <c r="BI20" s="1">
        <f t="shared" si="30"/>
        <v>0.28185042554932094</v>
      </c>
    </row>
    <row r="21" spans="1:61" x14ac:dyDescent="0.35">
      <c r="A21">
        <v>900</v>
      </c>
      <c r="AK21">
        <v>100.76986100000001</v>
      </c>
      <c r="AL21">
        <v>96.833855999999997</v>
      </c>
      <c r="AM21">
        <v>99.135225000000005</v>
      </c>
      <c r="AN21" s="1">
        <f t="shared" si="14"/>
        <v>98.91298066666667</v>
      </c>
      <c r="AO21" s="1">
        <f t="shared" si="28"/>
        <v>1.1416476759170422</v>
      </c>
      <c r="AZ21">
        <v>81.264686999999995</v>
      </c>
      <c r="BA21">
        <v>81.765187999999995</v>
      </c>
      <c r="BB21">
        <v>82.821048000000005</v>
      </c>
      <c r="BC21" s="1">
        <f t="shared" si="20"/>
        <v>81.950307666666674</v>
      </c>
      <c r="BD21" s="1">
        <f t="shared" si="29"/>
        <v>0.45871809019641607</v>
      </c>
      <c r="BE21">
        <v>60.326314000000004</v>
      </c>
      <c r="BF21">
        <v>57.967858</v>
      </c>
      <c r="BG21">
        <v>59.024617999999997</v>
      </c>
      <c r="BH21" s="1">
        <f t="shared" si="22"/>
        <v>59.106263333333338</v>
      </c>
      <c r="BI21" s="1">
        <f t="shared" si="30"/>
        <v>0.68205037602935126</v>
      </c>
    </row>
    <row r="22" spans="1:61" x14ac:dyDescent="0.35">
      <c r="A22">
        <v>1000</v>
      </c>
      <c r="AZ22">
        <v>102.52146399999999</v>
      </c>
      <c r="BA22">
        <v>101.92326799999999</v>
      </c>
      <c r="BB22">
        <v>103.069135</v>
      </c>
      <c r="BC22" s="1">
        <f t="shared" si="20"/>
        <v>102.50462233333333</v>
      </c>
      <c r="BD22" s="1">
        <f t="shared" si="29"/>
        <v>0.33089047872084953</v>
      </c>
      <c r="BE22">
        <v>77.808340999999999</v>
      </c>
      <c r="BF22">
        <v>82.577988000000005</v>
      </c>
      <c r="BG22">
        <v>75.642448999999999</v>
      </c>
      <c r="BH22" s="1">
        <f t="shared" si="22"/>
        <v>78.676259333333334</v>
      </c>
      <c r="BI22" s="1">
        <f t="shared" si="30"/>
        <v>2.0486082251236128</v>
      </c>
    </row>
    <row r="23" spans="1:61" x14ac:dyDescent="0.35">
      <c r="A23">
        <v>1100</v>
      </c>
      <c r="BE23">
        <v>92.081937999999994</v>
      </c>
      <c r="BF23">
        <v>88.439029000000005</v>
      </c>
      <c r="BG23">
        <v>86.497422999999998</v>
      </c>
      <c r="BH23" s="1">
        <f t="shared" si="22"/>
        <v>89.006129999999985</v>
      </c>
      <c r="BI23" s="1">
        <f>((SQRT(((BE23-BH23)^2+(BF23-BH23)^2+(BG23-BH23)^2)/2))/SQRT(3))</f>
        <v>1.6368572127155732</v>
      </c>
    </row>
    <row r="24" spans="1:61" x14ac:dyDescent="0.35">
      <c r="A24">
        <v>1200</v>
      </c>
      <c r="BE24">
        <v>104.78746700000001</v>
      </c>
      <c r="BF24">
        <v>105.80517</v>
      </c>
      <c r="BG24">
        <v>111.811246</v>
      </c>
      <c r="BH24" s="1">
        <f t="shared" si="22"/>
        <v>107.467961</v>
      </c>
      <c r="BI24" s="1">
        <f t="shared" ref="BI24" si="34">((SQRT(((BE24-BH24)^2+(BF24-BH24)^2+(BG24-BH24)^2)/2))/SQRT(3))</f>
        <v>2.1914244448509561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Hardman</dc:creator>
  <cp:lastModifiedBy>Nick Hardman</cp:lastModifiedBy>
  <dcterms:created xsi:type="dcterms:W3CDTF">2025-11-04T12:07:42Z</dcterms:created>
  <dcterms:modified xsi:type="dcterms:W3CDTF">2025-11-05T00:52:15Z</dcterms:modified>
</cp:coreProperties>
</file>